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FET\Pesquisa\IC2025_OF\"/>
    </mc:Choice>
  </mc:AlternateContent>
  <bookViews>
    <workbookView xWindow="0" yWindow="0" windowWidth="20400" windowHeight="7650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F45" i="1"/>
  <c r="E4" i="2" l="1"/>
  <c r="E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0" i="1"/>
  <c r="D41" i="1"/>
  <c r="D42" i="1"/>
  <c r="D43" i="1"/>
  <c r="D44" i="1"/>
  <c r="D4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/>
</calcChain>
</file>

<file path=xl/sharedStrings.xml><?xml version="1.0" encoding="utf-8"?>
<sst xmlns="http://schemas.openxmlformats.org/spreadsheetml/2006/main" count="5" uniqueCount="5">
  <si>
    <t>ADC</t>
  </si>
  <si>
    <t>Porc</t>
  </si>
  <si>
    <t>VBATT</t>
  </si>
  <si>
    <t>BATT -MED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</si>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</sst>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872640560693057E-2"/>
          <c:y val="0.19486111111111112"/>
          <c:w val="0.8769171114125542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BATT -MED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Planilha1!$A$2:$A$45</c:f>
              <c:numCache>
                <c:formatCode>General</c:formatCode>
                <c:ptCount val="44"/>
                <c:pt idx="0">
                  <c:v>2058</c:v>
                </c:pt>
                <c:pt idx="1">
                  <c:v>2092</c:v>
                </c:pt>
                <c:pt idx="2">
                  <c:v>2124</c:v>
                </c:pt>
                <c:pt idx="3">
                  <c:v>2156</c:v>
                </c:pt>
                <c:pt idx="4">
                  <c:v>2192</c:v>
                </c:pt>
                <c:pt idx="5">
                  <c:v>2219</c:v>
                </c:pt>
                <c:pt idx="6">
                  <c:v>2252</c:v>
                </c:pt>
                <c:pt idx="7">
                  <c:v>2283</c:v>
                </c:pt>
                <c:pt idx="8">
                  <c:v>2313</c:v>
                </c:pt>
                <c:pt idx="9">
                  <c:v>2346</c:v>
                </c:pt>
                <c:pt idx="10">
                  <c:v>2374</c:v>
                </c:pt>
                <c:pt idx="11">
                  <c:v>2403</c:v>
                </c:pt>
                <c:pt idx="12">
                  <c:v>2442</c:v>
                </c:pt>
                <c:pt idx="13">
                  <c:v>2470</c:v>
                </c:pt>
                <c:pt idx="14">
                  <c:v>2496</c:v>
                </c:pt>
                <c:pt idx="15">
                  <c:v>2528</c:v>
                </c:pt>
                <c:pt idx="16">
                  <c:v>2552</c:v>
                </c:pt>
                <c:pt idx="17">
                  <c:v>2579</c:v>
                </c:pt>
                <c:pt idx="18">
                  <c:v>2605</c:v>
                </c:pt>
                <c:pt idx="19">
                  <c:v>2630</c:v>
                </c:pt>
                <c:pt idx="20">
                  <c:v>2655</c:v>
                </c:pt>
                <c:pt idx="21">
                  <c:v>2678</c:v>
                </c:pt>
                <c:pt idx="22">
                  <c:v>2700</c:v>
                </c:pt>
                <c:pt idx="23">
                  <c:v>2723</c:v>
                </c:pt>
                <c:pt idx="24">
                  <c:v>2743</c:v>
                </c:pt>
                <c:pt idx="25">
                  <c:v>2792</c:v>
                </c:pt>
                <c:pt idx="26">
                  <c:v>2812</c:v>
                </c:pt>
                <c:pt idx="27">
                  <c:v>2826</c:v>
                </c:pt>
                <c:pt idx="28">
                  <c:v>2846</c:v>
                </c:pt>
                <c:pt idx="29">
                  <c:v>2863</c:v>
                </c:pt>
                <c:pt idx="30">
                  <c:v>2878</c:v>
                </c:pt>
                <c:pt idx="31">
                  <c:v>2893</c:v>
                </c:pt>
                <c:pt idx="32">
                  <c:v>2910</c:v>
                </c:pt>
                <c:pt idx="33">
                  <c:v>2924</c:v>
                </c:pt>
                <c:pt idx="34">
                  <c:v>2938</c:v>
                </c:pt>
                <c:pt idx="35">
                  <c:v>2951</c:v>
                </c:pt>
                <c:pt idx="36">
                  <c:v>2966</c:v>
                </c:pt>
                <c:pt idx="37">
                  <c:v>2980</c:v>
                </c:pt>
                <c:pt idx="38">
                  <c:v>2992</c:v>
                </c:pt>
                <c:pt idx="39">
                  <c:v>3000</c:v>
                </c:pt>
                <c:pt idx="40">
                  <c:v>3018</c:v>
                </c:pt>
                <c:pt idx="41">
                  <c:v>3028</c:v>
                </c:pt>
                <c:pt idx="42">
                  <c:v>3042</c:v>
                </c:pt>
                <c:pt idx="43">
                  <c:v>3066</c:v>
                </c:pt>
              </c:numCache>
            </c:numRef>
          </c:xVal>
          <c:yVal>
            <c:numRef>
              <c:f>Planilha1!$B$2:$B$45</c:f>
              <c:numCache>
                <c:formatCode>General</c:formatCode>
                <c:ptCount val="44"/>
                <c:pt idx="0">
                  <c:v>5.0910000000000002</c:v>
                </c:pt>
                <c:pt idx="1">
                  <c:v>5.18</c:v>
                </c:pt>
                <c:pt idx="2">
                  <c:v>5.2640000000000002</c:v>
                </c:pt>
                <c:pt idx="3">
                  <c:v>5.3529999999999998</c:v>
                </c:pt>
                <c:pt idx="4">
                  <c:v>5.4349999999999996</c:v>
                </c:pt>
                <c:pt idx="5">
                  <c:v>5.52</c:v>
                </c:pt>
                <c:pt idx="6">
                  <c:v>5.6120000000000001</c:v>
                </c:pt>
                <c:pt idx="7">
                  <c:v>5.6929999999999996</c:v>
                </c:pt>
                <c:pt idx="8">
                  <c:v>5.7759999999999998</c:v>
                </c:pt>
                <c:pt idx="9">
                  <c:v>5.8689999999999998</c:v>
                </c:pt>
                <c:pt idx="10">
                  <c:v>5.952</c:v>
                </c:pt>
                <c:pt idx="11">
                  <c:v>6.0380000000000003</c:v>
                </c:pt>
                <c:pt idx="12">
                  <c:v>6.15</c:v>
                </c:pt>
                <c:pt idx="13">
                  <c:v>6.23</c:v>
                </c:pt>
                <c:pt idx="14">
                  <c:v>6.32</c:v>
                </c:pt>
                <c:pt idx="15">
                  <c:v>6.41</c:v>
                </c:pt>
                <c:pt idx="16">
                  <c:v>6.5</c:v>
                </c:pt>
                <c:pt idx="17">
                  <c:v>6.58</c:v>
                </c:pt>
                <c:pt idx="18">
                  <c:v>6.68</c:v>
                </c:pt>
                <c:pt idx="19">
                  <c:v>6.77</c:v>
                </c:pt>
                <c:pt idx="20">
                  <c:v>6.86</c:v>
                </c:pt>
                <c:pt idx="21">
                  <c:v>6.94</c:v>
                </c:pt>
                <c:pt idx="22">
                  <c:v>7.03</c:v>
                </c:pt>
                <c:pt idx="23">
                  <c:v>7.11</c:v>
                </c:pt>
                <c:pt idx="24">
                  <c:v>7.2</c:v>
                </c:pt>
                <c:pt idx="25">
                  <c:v>7.41</c:v>
                </c:pt>
                <c:pt idx="26">
                  <c:v>7.5</c:v>
                </c:pt>
                <c:pt idx="27">
                  <c:v>7.58</c:v>
                </c:pt>
                <c:pt idx="28">
                  <c:v>7.66</c:v>
                </c:pt>
                <c:pt idx="29">
                  <c:v>7.73</c:v>
                </c:pt>
                <c:pt idx="30">
                  <c:v>7.81</c:v>
                </c:pt>
                <c:pt idx="31">
                  <c:v>7.89</c:v>
                </c:pt>
                <c:pt idx="32">
                  <c:v>7.97</c:v>
                </c:pt>
                <c:pt idx="33">
                  <c:v>8.06</c:v>
                </c:pt>
                <c:pt idx="34">
                  <c:v>8.14</c:v>
                </c:pt>
                <c:pt idx="35">
                  <c:v>8.2200000000000006</c:v>
                </c:pt>
                <c:pt idx="36">
                  <c:v>8.3000000000000007</c:v>
                </c:pt>
                <c:pt idx="37">
                  <c:v>8.39</c:v>
                </c:pt>
                <c:pt idx="38">
                  <c:v>8.4700000000000006</c:v>
                </c:pt>
                <c:pt idx="39">
                  <c:v>8.5500000000000007</c:v>
                </c:pt>
                <c:pt idx="40">
                  <c:v>8.6300000000000008</c:v>
                </c:pt>
                <c:pt idx="41">
                  <c:v>8.7100000000000009</c:v>
                </c:pt>
                <c:pt idx="42">
                  <c:v>8.8000000000000007</c:v>
                </c:pt>
                <c:pt idx="43">
                  <c:v>8.9600000000000009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9-4D5D-B63C-1CD2D7BC4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23416"/>
        <c:axId val="456422432"/>
      </c:scatterChart>
      <c:valAx>
        <c:axId val="45642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422432"/>
        <c:crosses val="autoZero"/>
        <c:crossBetween val="midCat"/>
      </c:valAx>
      <c:valAx>
        <c:axId val="4564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423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560296</xdr:colOff>
      <xdr:row>3</xdr:row>
      <xdr:rowOff>168090</xdr:rowOff>
    </xdr:from>
    <xdr:to>
      <xdr:col>20</xdr:col>
      <xdr:colOff>268582</xdr:colOff>
      <xdr:row>18</xdr:row>
      <xdr:rowOff>53790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28" zoomScale="115" zoomScaleNormal="115" workbookViewId="0">
      <selection activeCell="C38" sqref="C38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1</v>
      </c>
      <c r="D1" t="s">
        <v>2</v>
      </c>
    </row>
    <row r="2" spans="1:5" x14ac:dyDescent="0.25">
      <c r="A2">
        <v>2058</v>
      </c>
      <c r="B2">
        <v>5.0910000000000002</v>
      </c>
      <c r="C2">
        <f>(100/868)*(A2-2112)</f>
        <v>-6.2211981566820276</v>
      </c>
      <c r="D2">
        <f xml:space="preserve"> 10.32556  - (0.00662*A2) +( 0.00000200483*(A2^2))</f>
        <v>5.192784808119999</v>
      </c>
      <c r="E2">
        <f t="shared" ref="E2:E43" si="0">B2*0.41741</f>
        <v>2.1250343100000002</v>
      </c>
    </row>
    <row r="3" spans="1:5" x14ac:dyDescent="0.25">
      <c r="A3">
        <v>2092</v>
      </c>
      <c r="B3">
        <v>5.18</v>
      </c>
      <c r="C3">
        <f t="shared" ref="C3:C45" si="1">(100/868)*(A3-2112)</f>
        <v>-2.3041474654377883</v>
      </c>
      <c r="D3">
        <f t="shared" ref="D3:D45" si="2" xml:space="preserve"> 10.32556  - (0.00662*A3) +( 0.00000200483*(A3^2))</f>
        <v>5.2505863211199983</v>
      </c>
      <c r="E3">
        <f t="shared" si="0"/>
        <v>2.1621837999999998</v>
      </c>
    </row>
    <row r="4" spans="1:5" x14ac:dyDescent="0.25">
      <c r="A4">
        <v>2124</v>
      </c>
      <c r="B4">
        <v>5.2640000000000002</v>
      </c>
      <c r="C4">
        <f t="shared" si="1"/>
        <v>1.3824884792626728</v>
      </c>
      <c r="D4">
        <f t="shared" si="2"/>
        <v>5.3092219460799992</v>
      </c>
      <c r="E4">
        <f t="shared" si="0"/>
        <v>2.1972462400000001</v>
      </c>
    </row>
    <row r="5" spans="1:5" x14ac:dyDescent="0.25">
      <c r="A5">
        <v>2156</v>
      </c>
      <c r="B5">
        <v>5.3529999999999998</v>
      </c>
      <c r="C5">
        <f t="shared" si="1"/>
        <v>5.0691244239631335</v>
      </c>
      <c r="D5">
        <f t="shared" si="2"/>
        <v>5.3719634628799984</v>
      </c>
      <c r="E5">
        <f t="shared" si="0"/>
        <v>2.2343957300000001</v>
      </c>
    </row>
    <row r="6" spans="1:5" x14ac:dyDescent="0.25">
      <c r="A6">
        <v>2192</v>
      </c>
      <c r="B6">
        <v>5.4349999999999996</v>
      </c>
      <c r="C6">
        <f t="shared" si="1"/>
        <v>9.216589861751153</v>
      </c>
      <c r="D6">
        <f t="shared" si="2"/>
        <v>5.4474554931199997</v>
      </c>
      <c r="E6">
        <f t="shared" si="0"/>
        <v>2.2686233499999999</v>
      </c>
    </row>
    <row r="7" spans="1:5" x14ac:dyDescent="0.25">
      <c r="A7">
        <v>2219</v>
      </c>
      <c r="B7">
        <v>5.52</v>
      </c>
      <c r="C7">
        <f t="shared" si="1"/>
        <v>12.327188940092165</v>
      </c>
      <c r="D7">
        <f t="shared" si="2"/>
        <v>5.5074847316299973</v>
      </c>
      <c r="E7">
        <f t="shared" si="0"/>
        <v>2.3041031999999997</v>
      </c>
    </row>
    <row r="8" spans="1:5" x14ac:dyDescent="0.25">
      <c r="A8">
        <v>2252</v>
      </c>
      <c r="B8">
        <v>5.6120000000000001</v>
      </c>
      <c r="C8">
        <f t="shared" si="1"/>
        <v>16.129032258064516</v>
      </c>
      <c r="D8">
        <f t="shared" si="2"/>
        <v>5.58482336432</v>
      </c>
      <c r="E8">
        <f t="shared" si="0"/>
        <v>2.3425049200000001</v>
      </c>
    </row>
    <row r="9" spans="1:5" x14ac:dyDescent="0.25">
      <c r="A9">
        <v>2283</v>
      </c>
      <c r="B9">
        <v>5.6929999999999996</v>
      </c>
      <c r="C9">
        <f t="shared" si="1"/>
        <v>19.700460829493089</v>
      </c>
      <c r="D9">
        <f t="shared" si="2"/>
        <v>5.6614523898699982</v>
      </c>
      <c r="E9">
        <f t="shared" si="0"/>
        <v>2.3763151300000001</v>
      </c>
    </row>
    <row r="10" spans="1:5" x14ac:dyDescent="0.25">
      <c r="A10">
        <v>2313</v>
      </c>
      <c r="B10">
        <v>5.7759999999999998</v>
      </c>
      <c r="C10">
        <f t="shared" si="1"/>
        <v>23.156682027649769</v>
      </c>
      <c r="D10">
        <f t="shared" si="2"/>
        <v>5.7392783502699984</v>
      </c>
      <c r="E10">
        <f t="shared" si="0"/>
        <v>2.4109601600000001</v>
      </c>
    </row>
    <row r="11" spans="1:5" x14ac:dyDescent="0.25">
      <c r="A11">
        <v>2346</v>
      </c>
      <c r="B11">
        <v>5.8689999999999998</v>
      </c>
      <c r="C11">
        <f t="shared" si="1"/>
        <v>26.958525345622121</v>
      </c>
      <c r="D11">
        <f t="shared" si="2"/>
        <v>5.8290549482799996</v>
      </c>
      <c r="E11">
        <f t="shared" si="0"/>
        <v>2.4497792899999999</v>
      </c>
    </row>
    <row r="12" spans="1:5" x14ac:dyDescent="0.25">
      <c r="A12">
        <v>2374</v>
      </c>
      <c r="B12">
        <v>5.952</v>
      </c>
      <c r="C12">
        <f t="shared" si="1"/>
        <v>30.184331797235025</v>
      </c>
      <c r="D12">
        <f t="shared" si="2"/>
        <v>5.9086532810799977</v>
      </c>
      <c r="E12">
        <f t="shared" si="0"/>
        <v>2.48442432</v>
      </c>
    </row>
    <row r="13" spans="1:5" x14ac:dyDescent="0.25">
      <c r="A13">
        <v>2403</v>
      </c>
      <c r="B13">
        <v>6.0380000000000003</v>
      </c>
      <c r="C13">
        <f t="shared" si="1"/>
        <v>33.525345622119815</v>
      </c>
      <c r="D13">
        <f t="shared" si="2"/>
        <v>5.9944083954699998</v>
      </c>
      <c r="E13">
        <f t="shared" si="0"/>
        <v>2.5203215800000001</v>
      </c>
    </row>
    <row r="14" spans="1:5" x14ac:dyDescent="0.25">
      <c r="A14">
        <v>2442</v>
      </c>
      <c r="B14">
        <v>6.15</v>
      </c>
      <c r="C14">
        <f t="shared" si="1"/>
        <v>38.018433179723502</v>
      </c>
      <c r="D14">
        <f t="shared" si="2"/>
        <v>6.1150510481199998</v>
      </c>
      <c r="E14">
        <f t="shared" si="0"/>
        <v>2.5670715</v>
      </c>
    </row>
    <row r="15" spans="1:5" x14ac:dyDescent="0.25">
      <c r="A15">
        <v>2470</v>
      </c>
      <c r="B15">
        <v>6.23</v>
      </c>
      <c r="C15">
        <f t="shared" si="1"/>
        <v>41.244239631336406</v>
      </c>
      <c r="D15">
        <f t="shared" si="2"/>
        <v>6.205427346999997</v>
      </c>
      <c r="E15">
        <f t="shared" si="0"/>
        <v>2.6004643000000001</v>
      </c>
    </row>
    <row r="16" spans="1:5" x14ac:dyDescent="0.25">
      <c r="A16">
        <v>2496</v>
      </c>
      <c r="B16">
        <v>6.32</v>
      </c>
      <c r="C16">
        <f t="shared" si="1"/>
        <v>44.23963133640553</v>
      </c>
      <c r="D16">
        <f t="shared" si="2"/>
        <v>6.2921629772799967</v>
      </c>
      <c r="E16">
        <f t="shared" si="0"/>
        <v>2.6380312000000004</v>
      </c>
    </row>
    <row r="17" spans="1:5" x14ac:dyDescent="0.25">
      <c r="A17">
        <v>2528</v>
      </c>
      <c r="B17">
        <v>6.41</v>
      </c>
      <c r="C17">
        <f t="shared" si="1"/>
        <v>47.926267281105993</v>
      </c>
      <c r="D17">
        <f t="shared" si="2"/>
        <v>6.4026354867199977</v>
      </c>
      <c r="E17">
        <f t="shared" si="0"/>
        <v>2.6755981000000002</v>
      </c>
    </row>
    <row r="18" spans="1:5" x14ac:dyDescent="0.25">
      <c r="A18">
        <v>2552</v>
      </c>
      <c r="B18">
        <v>6.5</v>
      </c>
      <c r="C18">
        <f t="shared" si="1"/>
        <v>50.691244239631338</v>
      </c>
      <c r="D18">
        <f t="shared" si="2"/>
        <v>6.4881843603199982</v>
      </c>
      <c r="E18">
        <f t="shared" si="0"/>
        <v>2.713165</v>
      </c>
    </row>
    <row r="19" spans="1:5" x14ac:dyDescent="0.25">
      <c r="A19">
        <v>2579</v>
      </c>
      <c r="B19">
        <v>6.58</v>
      </c>
      <c r="C19">
        <f t="shared" si="1"/>
        <v>53.801843317972349</v>
      </c>
      <c r="D19">
        <f t="shared" si="2"/>
        <v>6.5871874940299975</v>
      </c>
      <c r="E19">
        <f t="shared" si="0"/>
        <v>2.7465578000000002</v>
      </c>
    </row>
    <row r="20" spans="1:5" x14ac:dyDescent="0.25">
      <c r="A20">
        <v>2605</v>
      </c>
      <c r="B20">
        <v>6.68</v>
      </c>
      <c r="C20">
        <f t="shared" si="1"/>
        <v>56.797235023041473</v>
      </c>
      <c r="D20">
        <f t="shared" si="2"/>
        <v>6.6852865007499975</v>
      </c>
      <c r="E20">
        <f t="shared" si="0"/>
        <v>2.7882987999999997</v>
      </c>
    </row>
    <row r="21" spans="1:5" x14ac:dyDescent="0.25">
      <c r="A21">
        <v>2630</v>
      </c>
      <c r="B21">
        <v>6.77</v>
      </c>
      <c r="C21">
        <f t="shared" si="1"/>
        <v>59.677419354838712</v>
      </c>
      <c r="D21">
        <f t="shared" si="2"/>
        <v>6.782168626999999</v>
      </c>
      <c r="E21">
        <f t="shared" si="0"/>
        <v>2.8258657</v>
      </c>
    </row>
    <row r="22" spans="1:5" x14ac:dyDescent="0.25">
      <c r="A22">
        <v>2655</v>
      </c>
      <c r="B22">
        <v>6.86</v>
      </c>
      <c r="C22">
        <f t="shared" si="1"/>
        <v>62.557603686635943</v>
      </c>
      <c r="D22">
        <f t="shared" si="2"/>
        <v>6.8815567907499986</v>
      </c>
      <c r="E22">
        <f t="shared" si="0"/>
        <v>2.8634326000000003</v>
      </c>
    </row>
    <row r="23" spans="1:5" x14ac:dyDescent="0.25">
      <c r="A23">
        <v>2678</v>
      </c>
      <c r="B23">
        <v>6.94</v>
      </c>
      <c r="C23">
        <f t="shared" si="1"/>
        <v>65.207373271889395</v>
      </c>
      <c r="D23">
        <f t="shared" si="2"/>
        <v>6.9752072337199991</v>
      </c>
      <c r="E23">
        <f t="shared" si="0"/>
        <v>2.8968254</v>
      </c>
    </row>
    <row r="24" spans="1:5" x14ac:dyDescent="0.25">
      <c r="A24">
        <v>2700</v>
      </c>
      <c r="B24">
        <v>7.03</v>
      </c>
      <c r="C24">
        <f t="shared" si="1"/>
        <v>67.741935483870975</v>
      </c>
      <c r="D24">
        <f t="shared" si="2"/>
        <v>7.0667706999999993</v>
      </c>
      <c r="E24">
        <f t="shared" si="0"/>
        <v>2.9343923000000003</v>
      </c>
    </row>
    <row r="25" spans="1:5" x14ac:dyDescent="0.25">
      <c r="A25">
        <v>2723</v>
      </c>
      <c r="B25">
        <v>7.11</v>
      </c>
      <c r="C25">
        <f t="shared" si="1"/>
        <v>70.391705069124427</v>
      </c>
      <c r="D25">
        <f t="shared" si="2"/>
        <v>7.164571141069997</v>
      </c>
      <c r="E25">
        <f t="shared" si="0"/>
        <v>2.9677851</v>
      </c>
    </row>
    <row r="26" spans="1:5" x14ac:dyDescent="0.25">
      <c r="A26">
        <v>2743</v>
      </c>
      <c r="B26">
        <v>7.2</v>
      </c>
      <c r="C26">
        <f t="shared" si="1"/>
        <v>72.695852534562206</v>
      </c>
      <c r="D26">
        <f t="shared" si="2"/>
        <v>7.2513391566699976</v>
      </c>
      <c r="E26">
        <f t="shared" si="0"/>
        <v>3.0053520000000002</v>
      </c>
    </row>
    <row r="27" spans="1:5" x14ac:dyDescent="0.25">
      <c r="A27">
        <v>2792</v>
      </c>
      <c r="B27">
        <v>7.41</v>
      </c>
      <c r="C27">
        <f t="shared" si="1"/>
        <v>78.341013824884797</v>
      </c>
      <c r="D27">
        <f t="shared" si="2"/>
        <v>7.4706991251199995</v>
      </c>
      <c r="E27">
        <f t="shared" si="0"/>
        <v>3.0930081</v>
      </c>
    </row>
    <row r="28" spans="1:5" x14ac:dyDescent="0.25">
      <c r="A28">
        <v>2812</v>
      </c>
      <c r="B28">
        <v>7.5</v>
      </c>
      <c r="C28">
        <f t="shared" si="1"/>
        <v>80.645161290322577</v>
      </c>
      <c r="D28">
        <f t="shared" si="2"/>
        <v>7.5630004715199988</v>
      </c>
      <c r="E28">
        <f t="shared" si="0"/>
        <v>3.1305749999999999</v>
      </c>
    </row>
    <row r="29" spans="1:5" x14ac:dyDescent="0.25">
      <c r="A29">
        <v>2826</v>
      </c>
      <c r="B29">
        <v>7.58</v>
      </c>
      <c r="C29">
        <f t="shared" si="1"/>
        <v>82.258064516129039</v>
      </c>
      <c r="D29">
        <f t="shared" si="2"/>
        <v>7.6285657130799969</v>
      </c>
      <c r="E29">
        <f t="shared" si="0"/>
        <v>3.1639678</v>
      </c>
    </row>
    <row r="30" spans="1:5" x14ac:dyDescent="0.25">
      <c r="A30">
        <v>2846</v>
      </c>
      <c r="B30">
        <v>7.66</v>
      </c>
      <c r="C30">
        <f t="shared" si="1"/>
        <v>84.562211981566819</v>
      </c>
      <c r="D30">
        <f t="shared" si="2"/>
        <v>7.7235936282799962</v>
      </c>
      <c r="E30">
        <f t="shared" si="0"/>
        <v>3.1973606000000001</v>
      </c>
    </row>
    <row r="31" spans="1:5" x14ac:dyDescent="0.25">
      <c r="A31">
        <v>2863</v>
      </c>
      <c r="B31">
        <v>7.73</v>
      </c>
      <c r="C31">
        <f t="shared" si="1"/>
        <v>86.52073732718894</v>
      </c>
      <c r="D31">
        <f t="shared" si="2"/>
        <v>7.8056283942699984</v>
      </c>
      <c r="E31">
        <f t="shared" si="0"/>
        <v>3.2265793</v>
      </c>
    </row>
    <row r="32" spans="1:5" x14ac:dyDescent="0.25">
      <c r="A32">
        <v>2878</v>
      </c>
      <c r="B32">
        <v>7.81</v>
      </c>
      <c r="C32">
        <f t="shared" si="1"/>
        <v>88.248847926267288</v>
      </c>
      <c r="D32">
        <f t="shared" si="2"/>
        <v>7.8789743297199983</v>
      </c>
      <c r="E32">
        <f t="shared" si="0"/>
        <v>3.2599720999999997</v>
      </c>
    </row>
    <row r="33" spans="1:6" x14ac:dyDescent="0.25">
      <c r="A33">
        <v>2893</v>
      </c>
      <c r="B33">
        <v>7.89</v>
      </c>
      <c r="C33">
        <f t="shared" si="1"/>
        <v>89.976958525345623</v>
      </c>
      <c r="D33">
        <f t="shared" si="2"/>
        <v>7.9532224386699966</v>
      </c>
      <c r="E33">
        <f t="shared" si="0"/>
        <v>3.2933648999999998</v>
      </c>
    </row>
    <row r="34" spans="1:6" x14ac:dyDescent="0.25">
      <c r="A34">
        <v>2910</v>
      </c>
      <c r="B34">
        <v>7.97</v>
      </c>
      <c r="C34">
        <f t="shared" si="1"/>
        <v>91.935483870967744</v>
      </c>
      <c r="D34">
        <f t="shared" si="2"/>
        <v>8.0384609229999988</v>
      </c>
      <c r="E34">
        <f t="shared" si="0"/>
        <v>3.3267576999999999</v>
      </c>
    </row>
    <row r="35" spans="1:6" x14ac:dyDescent="0.25">
      <c r="A35">
        <v>2924</v>
      </c>
      <c r="B35">
        <v>8.06</v>
      </c>
      <c r="C35">
        <f t="shared" si="1"/>
        <v>93.548387096774192</v>
      </c>
      <c r="D35">
        <f t="shared" si="2"/>
        <v>8.109527418079999</v>
      </c>
      <c r="E35">
        <f t="shared" si="0"/>
        <v>3.3643246000000002</v>
      </c>
    </row>
    <row r="36" spans="1:6" x14ac:dyDescent="0.25">
      <c r="A36">
        <v>2938</v>
      </c>
      <c r="B36">
        <v>8.14</v>
      </c>
      <c r="C36">
        <f t="shared" si="1"/>
        <v>95.161290322580641</v>
      </c>
      <c r="D36">
        <f t="shared" si="2"/>
        <v>8.1813798065199954</v>
      </c>
      <c r="E36">
        <f t="shared" si="0"/>
        <v>3.3977174000000003</v>
      </c>
    </row>
    <row r="37" spans="1:6" x14ac:dyDescent="0.25">
      <c r="A37">
        <v>2951</v>
      </c>
      <c r="B37">
        <v>8.2200000000000006</v>
      </c>
      <c r="C37">
        <f t="shared" si="1"/>
        <v>96.658986175115203</v>
      </c>
      <c r="D37">
        <f t="shared" si="2"/>
        <v>8.2488035768299959</v>
      </c>
      <c r="E37">
        <f t="shared" si="0"/>
        <v>3.4311102000000004</v>
      </c>
    </row>
    <row r="38" spans="1:6" x14ac:dyDescent="0.25">
      <c r="A38">
        <v>2966</v>
      </c>
      <c r="B38">
        <v>8.3000000000000007</v>
      </c>
      <c r="C38">
        <f t="shared" si="1"/>
        <v>98.387096774193552</v>
      </c>
      <c r="D38">
        <f t="shared" si="2"/>
        <v>8.3274422634799983</v>
      </c>
      <c r="E38">
        <f t="shared" si="0"/>
        <v>3.4645030000000001</v>
      </c>
    </row>
    <row r="39" spans="1:6" x14ac:dyDescent="0.25">
      <c r="A39">
        <v>2980</v>
      </c>
      <c r="B39">
        <v>8.39</v>
      </c>
      <c r="C39">
        <f t="shared" si="1"/>
        <v>100</v>
      </c>
      <c r="D39" t="s">
        <v>4</v>
      </c>
      <c r="E39">
        <f t="shared" si="0"/>
        <v>3.5020699000000004</v>
      </c>
    </row>
    <row r="40" spans="1:6" x14ac:dyDescent="0.25">
      <c r="A40">
        <v>2992</v>
      </c>
      <c r="B40">
        <v>8.4700000000000006</v>
      </c>
      <c r="C40">
        <f t="shared" si="1"/>
        <v>101.38248847926268</v>
      </c>
      <c r="D40">
        <f t="shared" si="2"/>
        <v>8.4658864691199973</v>
      </c>
      <c r="E40">
        <f t="shared" si="0"/>
        <v>3.5354627000000005</v>
      </c>
    </row>
    <row r="41" spans="1:6" x14ac:dyDescent="0.25">
      <c r="A41">
        <v>3000</v>
      </c>
      <c r="B41">
        <v>8.5500000000000007</v>
      </c>
      <c r="C41">
        <f t="shared" si="1"/>
        <v>102.30414746543779</v>
      </c>
      <c r="D41">
        <f t="shared" si="2"/>
        <v>8.5090299999999992</v>
      </c>
      <c r="E41">
        <f t="shared" si="0"/>
        <v>3.5688555000000002</v>
      </c>
    </row>
    <row r="42" spans="1:6" x14ac:dyDescent="0.25">
      <c r="A42">
        <v>3018</v>
      </c>
      <c r="B42">
        <v>8.6300000000000008</v>
      </c>
      <c r="C42">
        <f t="shared" si="1"/>
        <v>104.3778801843318</v>
      </c>
      <c r="D42">
        <f t="shared" si="2"/>
        <v>8.607041204919998</v>
      </c>
      <c r="E42">
        <f t="shared" si="0"/>
        <v>3.6022483000000003</v>
      </c>
    </row>
    <row r="43" spans="1:6" x14ac:dyDescent="0.25">
      <c r="A43">
        <v>3028</v>
      </c>
      <c r="B43">
        <v>8.7100000000000009</v>
      </c>
      <c r="C43">
        <f t="shared" si="1"/>
        <v>105.52995391705069</v>
      </c>
      <c r="D43">
        <f t="shared" si="2"/>
        <v>8.6620532267199977</v>
      </c>
      <c r="E43">
        <f t="shared" si="0"/>
        <v>3.6356411000000004</v>
      </c>
    </row>
    <row r="44" spans="1:6" x14ac:dyDescent="0.25">
      <c r="A44">
        <v>3042</v>
      </c>
      <c r="B44">
        <v>8.8000000000000007</v>
      </c>
      <c r="C44">
        <f t="shared" si="1"/>
        <v>107.14285714285714</v>
      </c>
      <c r="D44">
        <f t="shared" si="2"/>
        <v>8.7397436801199966</v>
      </c>
      <c r="E44">
        <f>B44*0.41741</f>
        <v>3.6732080000000003</v>
      </c>
    </row>
    <row r="45" spans="1:6" x14ac:dyDescent="0.25">
      <c r="A45">
        <v>3066</v>
      </c>
      <c r="B45">
        <v>8.9600000000000009</v>
      </c>
      <c r="C45">
        <f t="shared" si="1"/>
        <v>109.90783410138249</v>
      </c>
      <c r="D45">
        <f t="shared" si="2"/>
        <v>8.874755719479996</v>
      </c>
      <c r="E45">
        <v>3.74</v>
      </c>
      <c r="F45">
        <f>E45/B45</f>
        <v>0.41741071428571425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Views>
    <sheetView workbookViewId="0">
      <selection activeCell="A4" sqref="A4"/>
    </sheetView>
  </sheetViews>
  <sheetFormatPr defaultRowHeight="15" x14ac:dyDescent="0.25"/>
  <sheetData>
    <row r="2" spans="1:5" x14ac:dyDescent="0.25">
      <c r="A2">
        <v>2916</v>
      </c>
      <c r="E2">
        <f xml:space="preserve"> 10.32556  - (0.00662*A2) +( 0.00000200483*(A2^2))</f>
        <v>8.0688217604799952</v>
      </c>
    </row>
    <row r="4" spans="1:5" x14ac:dyDescent="0.25">
      <c r="A4">
        <v>2999</v>
      </c>
      <c r="E4">
        <f xml:space="preserve"> (10.32556  - (0.00662*A4) +( 0.00000200483*(A4^2)))</f>
        <v>8.5036230248299951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 Santiago Neto</dc:creator>
  <cp:lastModifiedBy>Ruy Santiago Neto</cp:lastModifiedBy>
  <dcterms:created xsi:type="dcterms:W3CDTF">2026-02-01T19:26:17Z</dcterms:created>
  <dcterms:modified xsi:type="dcterms:W3CDTF">2026-02-18T13:08:05Z</dcterms:modified>
</cp:coreProperties>
</file>